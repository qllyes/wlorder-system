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李瑛\Desktop\"/>
    </mc:Choice>
  </mc:AlternateContent>
  <xr:revisionPtr revIDLastSave="0" documentId="8_{5802472D-15FB-4139-9F44-0E32ADBAFD62}" xr6:coauthVersionLast="47" xr6:coauthVersionMax="47" xr10:uidLastSave="{00000000-0000-0000-0000-000000000000}"/>
  <bookViews>
    <workbookView xWindow="1800" yWindow="0" windowWidth="18300" windowHeight="10200" xr2:uid="{496F0802-0E19-4433-AC0D-5CC044F3372D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  <c r="B12" i="1"/>
  <c r="A12" i="1"/>
  <c r="C11" i="1"/>
  <c r="B11" i="1"/>
  <c r="A11" i="1"/>
  <c r="F10" i="1"/>
  <c r="E10" i="1"/>
  <c r="D10" i="1"/>
  <c r="C10" i="1"/>
  <c r="B10" i="1"/>
  <c r="A10" i="1"/>
  <c r="F9" i="1"/>
  <c r="E9" i="1"/>
  <c r="D9" i="1"/>
  <c r="C9" i="1"/>
  <c r="B9" i="1"/>
  <c r="A9" i="1"/>
  <c r="F8" i="1"/>
  <c r="E8" i="1"/>
  <c r="D8" i="1"/>
  <c r="C8" i="1"/>
  <c r="B8" i="1"/>
  <c r="A8" i="1"/>
  <c r="F7" i="1"/>
  <c r="E7" i="1"/>
  <c r="D7" i="1"/>
  <c r="C7" i="1"/>
  <c r="B7" i="1"/>
  <c r="A7" i="1"/>
  <c r="B5" i="1"/>
  <c r="F4" i="1"/>
  <c r="D4" i="1"/>
</calcChain>
</file>

<file path=xl/sharedStrings.xml><?xml version="1.0" encoding="utf-8"?>
<sst xmlns="http://schemas.openxmlformats.org/spreadsheetml/2006/main" count="47" uniqueCount="30">
  <si>
    <t>啤酒厂物流托运单</t>
  </si>
  <si>
    <t>托运日期:  2026年1月28日</t>
  </si>
  <si>
    <t>NO:X0395</t>
    <phoneticPr fontId="6" type="noConversion"/>
  </si>
  <si>
    <t xml:space="preserve">  </t>
    <phoneticPr fontId="6" type="noConversion"/>
  </si>
  <si>
    <t>发站</t>
  </si>
  <si>
    <t>七箭啤酒厂</t>
  </si>
  <si>
    <t>发货方</t>
  </si>
  <si>
    <t>物流部</t>
    <phoneticPr fontId="6" type="noConversion"/>
  </si>
  <si>
    <t>电话</t>
  </si>
  <si>
    <t>到站</t>
  </si>
  <si>
    <t>收货方</t>
  </si>
  <si>
    <t>收货地址</t>
  </si>
  <si>
    <t xml:space="preserve">   </t>
  </si>
  <si>
    <t xml:space="preserve">         </t>
    <phoneticPr fontId="6" type="noConversion"/>
  </si>
  <si>
    <t>品名</t>
  </si>
  <si>
    <t>包装</t>
  </si>
  <si>
    <t>件数</t>
  </si>
  <si>
    <t>运输费用</t>
  </si>
  <si>
    <t xml:space="preserve"> </t>
    <phoneticPr fontId="6" type="noConversion"/>
  </si>
  <si>
    <t xml:space="preserve">   </t>
    <phoneticPr fontId="6" type="noConversion"/>
  </si>
  <si>
    <t xml:space="preserve"> </t>
  </si>
  <si>
    <t>总件数</t>
  </si>
  <si>
    <t xml:space="preserve">                   </t>
    <phoneticPr fontId="6" type="noConversion"/>
  </si>
  <si>
    <t>总重量（吨）</t>
  </si>
  <si>
    <t>合计</t>
  </si>
  <si>
    <t xml:space="preserve">  元</t>
    <phoneticPr fontId="6" type="noConversion"/>
  </si>
  <si>
    <t>总合计金额（大写）  零 万   仟    佰     拾    元</t>
    <phoneticPr fontId="6" type="noConversion"/>
  </si>
  <si>
    <t>取货方式：送货上门 （√)  自提 （ ）         付款方式：提付（ ）  现付 （√ ）</t>
  </si>
  <si>
    <t>查货电话：13487819747   业务电话：李13016141852 /王15080730688</t>
  </si>
  <si>
    <t xml:space="preserve">                                               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</si>
</sst>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2"/>
      <color theme="1"/>
      <name val="等线 Light"/>
      <family val="3"/>
      <charset val="134"/>
      <scheme val="major"/>
    </font>
    <font>
      <sz val="9"/>
      <name val="等线"/>
      <family val="2"/>
      <charset val="134"/>
      <scheme val="minor"/>
    </font>
    <font>
      <sz val="11"/>
      <color theme="1"/>
      <name val="等线 Light"/>
      <family val="3"/>
      <charset val="134"/>
      <scheme val="major"/>
    </font>
    <font>
      <b/>
      <sz val="11"/>
      <color theme="1"/>
      <name val="等线 Light"/>
      <family val="3"/>
      <charset val="134"/>
      <scheme val="major"/>
    </font>
    <font>
      <sz val="9"/>
      <name val="等线"/>
      <family val="3"/>
      <charset val="134"/>
      <scheme val="minor"/>
    </font>
    <font>
      <b/>
      <sz val="10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26">
    <xf numFmtId="0" fontId="0" fillId="0" borderId="0" xfId="0">
      <alignment vertical="center"/>
    </xf>
    <xf numFmtId="43" fontId="2" fillId="2" borderId="0" xfId="1" applyFont="1" applyFill="1" applyAlignment="1">
      <alignment horizontal="center" vertical="center"/>
    </xf>
    <xf numFmtId="0" fontId="4" fillId="0" borderId="0" xfId="0" applyFont="1">
      <alignment vertical="center"/>
    </xf>
    <xf numFmtId="43" fontId="5" fillId="2" borderId="0" xfId="1" applyFont="1" applyFill="1" applyBorder="1" applyAlignment="1">
      <alignment horizontal="center" vertical="center"/>
    </xf>
    <xf numFmtId="43" fontId="5" fillId="2" borderId="0" xfId="1" applyFont="1" applyFill="1" applyBorder="1" applyAlignment="1">
      <alignment horizontal="center" vertical="center"/>
    </xf>
    <xf numFmtId="43" fontId="5" fillId="2" borderId="1" xfId="1" applyFont="1" applyFill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center" vertical="center"/>
    </xf>
    <xf numFmtId="43" fontId="5" fillId="2" borderId="1" xfId="1" applyFont="1" applyFill="1" applyBorder="1" applyAlignment="1">
      <alignment vertical="center"/>
    </xf>
    <xf numFmtId="0" fontId="5" fillId="2" borderId="1" xfId="1" applyNumberFormat="1" applyFont="1" applyFill="1" applyBorder="1" applyAlignment="1">
      <alignment horizontal="center" vertical="center"/>
    </xf>
    <xf numFmtId="0" fontId="5" fillId="2" borderId="2" xfId="1" applyNumberFormat="1" applyFont="1" applyFill="1" applyBorder="1" applyAlignment="1">
      <alignment horizontal="left" vertical="center" wrapText="1"/>
    </xf>
    <xf numFmtId="0" fontId="5" fillId="2" borderId="3" xfId="1" applyNumberFormat="1" applyFont="1" applyFill="1" applyBorder="1" applyAlignment="1">
      <alignment horizontal="left" vertical="center" wrapText="1"/>
    </xf>
    <xf numFmtId="0" fontId="5" fillId="2" borderId="4" xfId="1" applyNumberFormat="1" applyFont="1" applyFill="1" applyBorder="1" applyAlignment="1">
      <alignment horizontal="left" vertical="center" wrapText="1"/>
    </xf>
    <xf numFmtId="43" fontId="5" fillId="2" borderId="1" xfId="1" applyFont="1" applyFill="1" applyBorder="1" applyAlignment="1">
      <alignment horizontal="center" vertical="center"/>
    </xf>
    <xf numFmtId="0" fontId="7" fillId="0" borderId="1" xfId="2" applyFont="1" applyBorder="1">
      <alignment vertical="center"/>
    </xf>
    <xf numFmtId="0" fontId="8" fillId="0" borderId="1" xfId="2" applyFont="1" applyBorder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2" fillId="2" borderId="1" xfId="1" applyNumberFormat="1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 vertical="center"/>
    </xf>
    <xf numFmtId="49" fontId="2" fillId="2" borderId="2" xfId="1" applyNumberFormat="1" applyFont="1" applyFill="1" applyBorder="1" applyAlignment="1">
      <alignment horizontal="center" vertical="center"/>
    </xf>
    <xf numFmtId="49" fontId="2" fillId="2" borderId="4" xfId="1" applyNumberFormat="1" applyFont="1" applyFill="1" applyBorder="1" applyAlignment="1">
      <alignment horizontal="center" vertical="center"/>
    </xf>
    <xf numFmtId="43" fontId="5" fillId="2" borderId="2" xfId="1" applyFont="1" applyFill="1" applyBorder="1" applyAlignment="1">
      <alignment horizontal="left" vertical="center"/>
    </xf>
    <xf numFmtId="43" fontId="5" fillId="2" borderId="3" xfId="1" applyFont="1" applyFill="1" applyBorder="1" applyAlignment="1">
      <alignment horizontal="left" vertical="center"/>
    </xf>
    <xf numFmtId="43" fontId="5" fillId="2" borderId="4" xfId="1" applyFont="1" applyFill="1" applyBorder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43" fontId="9" fillId="2" borderId="0" xfId="1" applyFont="1" applyFill="1" applyBorder="1" applyAlignment="1">
      <alignment horizontal="center" vertical="center"/>
    </xf>
  </cellXfs>
  <cellStyles count="3">
    <cellStyle name="常规" xfId="0" builtinId="0"/>
    <cellStyle name="常规 11" xfId="2" xr:uid="{9C163253-881C-4F04-B894-1A16ADB928F8}"/>
    <cellStyle name="千位分隔 2" xfId="1" xr:uid="{6C326159-9776-4CBD-8555-1D9F963B51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26446;&#29787;\Desktop\003-1&#26376;23-28&#26085;&#25176;&#36816;&#21333;.xlsx" TargetMode="External"/><Relationship Id="rId1" Type="http://schemas.openxmlformats.org/officeDocument/2006/relationships/externalLinkPath" Target="003-1&#26376;23-28&#26085;&#25176;&#36816;&#2133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喜"/>
      <sheetName val="物"/>
      <sheetName val="2025"/>
      <sheetName val="2026"/>
      <sheetName val="物流"/>
      <sheetName val="喜1"/>
    </sheetNames>
    <sheetDataSet>
      <sheetData sheetId="0">
        <row r="2">
          <cell r="C2" t="str">
            <v>海盐荔枝305ml*12</v>
          </cell>
          <cell r="D2" t="str">
            <v>箱</v>
          </cell>
          <cell r="E2">
            <v>50</v>
          </cell>
          <cell r="F2" t="str">
            <v>张建良</v>
          </cell>
          <cell r="G2">
            <v>18257702000</v>
          </cell>
          <cell r="H2" t="str">
            <v>浙江省温州市乐清市城南街道清远大厦321号11楼森林俊木</v>
          </cell>
        </row>
        <row r="3">
          <cell r="C3" t="str">
            <v>西柚茉莉305ml*12</v>
          </cell>
          <cell r="D3" t="str">
            <v>箱</v>
          </cell>
          <cell r="E3">
            <v>25</v>
          </cell>
        </row>
        <row r="4">
          <cell r="C4" t="str">
            <v>柠檬风味305ml*12</v>
          </cell>
          <cell r="D4" t="str">
            <v>箱</v>
          </cell>
          <cell r="E4">
            <v>50</v>
          </cell>
        </row>
        <row r="5">
          <cell r="C5" t="str">
            <v>比利时650ml*6</v>
          </cell>
          <cell r="D5" t="str">
            <v>箱</v>
          </cell>
          <cell r="E5">
            <v>450</v>
          </cell>
        </row>
        <row r="6">
          <cell r="C6" t="str">
            <v>德式小麦650ml*6</v>
          </cell>
          <cell r="D6" t="str">
            <v>箱</v>
          </cell>
          <cell r="E6">
            <v>350</v>
          </cell>
        </row>
        <row r="7">
          <cell r="C7" t="str">
            <v>灵芝黄精650ml*6</v>
          </cell>
          <cell r="D7" t="str">
            <v>箱</v>
          </cell>
          <cell r="E7">
            <v>100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57318-6173-41D5-BB14-DE178067FBF1}">
  <dimension ref="A1:U49"/>
  <sheetViews>
    <sheetView tabSelected="1" workbookViewId="0">
      <selection activeCell="A8" sqref="A8"/>
    </sheetView>
  </sheetViews>
  <sheetFormatPr defaultColWidth="10" defaultRowHeight="14" x14ac:dyDescent="0.3"/>
  <cols>
    <col min="1" max="1" width="15.33203125" style="15" customWidth="1"/>
    <col min="2" max="2" width="8" style="15" customWidth="1"/>
    <col min="3" max="3" width="5.9140625" style="24" customWidth="1"/>
    <col min="4" max="4" width="16.25" style="15" customWidth="1"/>
    <col min="5" max="5" width="8.25" style="15" customWidth="1"/>
    <col min="6" max="6" width="5.4140625" style="15" customWidth="1"/>
    <col min="7" max="7" width="6.83203125" style="15" customWidth="1"/>
    <col min="8" max="8" width="11.6640625" style="15" customWidth="1"/>
    <col min="9" max="13" width="10" style="2"/>
    <col min="14" max="14" width="9.75" style="2" customWidth="1"/>
    <col min="15" max="16384" width="10" style="2"/>
  </cols>
  <sheetData>
    <row r="1" spans="1:21" ht="13.5" customHeight="1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21" ht="17.25" customHeight="1" x14ac:dyDescent="0.3">
      <c r="A2" s="3" t="s">
        <v>1</v>
      </c>
      <c r="B2" s="3"/>
      <c r="C2" s="3"/>
      <c r="D2" s="4"/>
      <c r="E2" s="4"/>
      <c r="F2" s="3" t="s">
        <v>2</v>
      </c>
      <c r="G2" s="3"/>
      <c r="H2" s="3"/>
      <c r="U2" s="2" t="s">
        <v>3</v>
      </c>
    </row>
    <row r="3" spans="1:21" ht="21" customHeight="1" x14ac:dyDescent="0.3">
      <c r="A3" s="5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6">
        <v>13487819747</v>
      </c>
      <c r="G3" s="6"/>
      <c r="H3" s="6"/>
    </row>
    <row r="4" spans="1:21" ht="21" customHeight="1" x14ac:dyDescent="0.3">
      <c r="A4" s="5" t="s">
        <v>9</v>
      </c>
      <c r="B4" s="7"/>
      <c r="C4" s="5" t="s">
        <v>10</v>
      </c>
      <c r="D4" s="5" t="str">
        <f>[1]Sheet1!F2</f>
        <v>张建良</v>
      </c>
      <c r="E4" s="5" t="s">
        <v>8</v>
      </c>
      <c r="F4" s="8">
        <f>[1]Sheet1!G2</f>
        <v>18257702000</v>
      </c>
      <c r="G4" s="8"/>
      <c r="H4" s="8"/>
    </row>
    <row r="5" spans="1:21" ht="21" customHeight="1" x14ac:dyDescent="0.3">
      <c r="A5" s="5" t="s">
        <v>11</v>
      </c>
      <c r="B5" s="9" t="str">
        <f>[1]Sheet1!H2</f>
        <v>浙江省温州市乐清市城南街道清远大厦321号11楼森林俊木</v>
      </c>
      <c r="C5" s="10"/>
      <c r="D5" s="10"/>
      <c r="E5" s="10"/>
      <c r="F5" s="10"/>
      <c r="G5" s="10"/>
      <c r="H5" s="11"/>
      <c r="I5" s="2" t="s">
        <v>12</v>
      </c>
      <c r="S5" s="2" t="s">
        <v>13</v>
      </c>
    </row>
    <row r="6" spans="1:21" ht="21" customHeight="1" x14ac:dyDescent="0.3">
      <c r="A6" s="5" t="s">
        <v>14</v>
      </c>
      <c r="B6" s="5" t="s">
        <v>15</v>
      </c>
      <c r="C6" s="5" t="s">
        <v>16</v>
      </c>
      <c r="D6" s="5" t="s">
        <v>14</v>
      </c>
      <c r="E6" s="5" t="s">
        <v>15</v>
      </c>
      <c r="F6" s="5" t="s">
        <v>16</v>
      </c>
      <c r="G6" s="12" t="s">
        <v>17</v>
      </c>
      <c r="H6" s="12"/>
    </row>
    <row r="7" spans="1:21" ht="21" customHeight="1" x14ac:dyDescent="0.3">
      <c r="A7" s="13" t="str">
        <f>_xlfn.IFS(AND(ISNUMBER(SEARCH("20L/桶",[1]Sheet1!C2)),[1]Sheet1!C2&lt;&gt;""),"PET桶",[1]Sheet1!C2&lt;&gt;"",[1]Sheet1!C2,TRUE,"")</f>
        <v>海盐荔枝305ml*12</v>
      </c>
      <c r="B7" s="13" t="str">
        <f>_xlfn.IFS(AND(ISNUMBER(SEARCH("20L/桶",[1]Sheet1!D2)),[1]Sheet1!D2&lt;&gt;""),"PET桶",[1]Sheet1!D2&lt;&gt;"",[1]Sheet1!D2,TRUE,"")</f>
        <v>箱</v>
      </c>
      <c r="C7" s="13">
        <f>_xlfn.IFS(AND(ISNUMBER(SEARCH("20L/桶",[1]Sheet1!E2)),[1]Sheet1!E2&lt;&gt;""),"PET桶",[1]Sheet1!E2&lt;&gt;"",[1]Sheet1!E2,TRUE,"")</f>
        <v>50</v>
      </c>
      <c r="D7" s="14" t="str">
        <f>IF(AND(ISNUMBER(SEARCH("20L",[1]Sheet1!C8)),[1]Sheet1!C8&lt;&gt;""),"PET桶",IF([1]Sheet1!C8&lt;&gt;"",[1]Sheet1!C8,""))</f>
        <v/>
      </c>
      <c r="E7" s="14" t="str">
        <f>IF(AND(ISNUMBER(SEARCH("20L",[1]Sheet1!D8)),[1]Sheet1!D8&lt;&gt;""),"PET桶",IF([1]Sheet1!D8&lt;&gt;"",[1]Sheet1!D8,""))</f>
        <v/>
      </c>
      <c r="F7" s="14" t="str">
        <f>IF(AND(ISNUMBER(SEARCH("20L",[1]Sheet1!E8)),[1]Sheet1!E8&lt;&gt;""),"PET桶",IF([1]Sheet1!E8&lt;&gt;"",[1]Sheet1!E8,""))</f>
        <v/>
      </c>
      <c r="G7" s="25"/>
      <c r="H7" s="5"/>
    </row>
    <row r="8" spans="1:21" ht="21" customHeight="1" x14ac:dyDescent="0.3">
      <c r="A8" s="13" t="str">
        <f>_xlfn.IFS(AND(ISNUMBER(SEARCH("20L/桶",[1]Sheet1!C3)),[1]Sheet1!C3&lt;&gt;""),"PET桶",[1]Sheet1!C3&lt;&gt;"",[1]Sheet1!C3,TRUE,"")</f>
        <v>西柚茉莉305ml*12</v>
      </c>
      <c r="B8" s="13" t="str">
        <f>_xlfn.IFS(AND(ISNUMBER(SEARCH("20L/桶",[1]Sheet1!D3)),[1]Sheet1!D3&lt;&gt;""),"PET桶",[1]Sheet1!D3&lt;&gt;"",[1]Sheet1!D3,TRUE,"")</f>
        <v>箱</v>
      </c>
      <c r="C8" s="13">
        <f>_xlfn.IFS(AND(ISNUMBER(SEARCH("20L/桶",[1]Sheet1!E3)),[1]Sheet1!E3&lt;&gt;""),"PET桶",[1]Sheet1!E3&lt;&gt;"",[1]Sheet1!E3,TRUE,"")</f>
        <v>25</v>
      </c>
      <c r="D8" s="14" t="str">
        <f>IF(AND(ISNUMBER(SEARCH("20L",[1]Sheet1!C9)),[1]Sheet1!C9&lt;&gt;""),"PET桶",IF([1]Sheet1!C9&lt;&gt;"",[1]Sheet1!C9,""))</f>
        <v/>
      </c>
      <c r="E8" s="14" t="str">
        <f>IF(AND(ISNUMBER(SEARCH("20L",[1]Sheet1!D9)),[1]Sheet1!D9&lt;&gt;""),"PET桶",IF([1]Sheet1!D9&lt;&gt;"",[1]Sheet1!D9,""))</f>
        <v/>
      </c>
      <c r="F8" s="14" t="str">
        <f>IF(AND(ISNUMBER(SEARCH("20L",[1]Sheet1!E9)),[1]Sheet1!E9&lt;&gt;""),"PET桶",IF([1]Sheet1!E9&lt;&gt;"",[1]Sheet1!E9,""))</f>
        <v/>
      </c>
      <c r="G8" s="5"/>
      <c r="H8" s="5"/>
      <c r="I8" s="2" t="s">
        <v>18</v>
      </c>
      <c r="U8" s="2" t="s">
        <v>19</v>
      </c>
    </row>
    <row r="9" spans="1:21" ht="21" customHeight="1" x14ac:dyDescent="0.3">
      <c r="A9" s="13" t="str">
        <f>_xlfn.IFS(AND(ISNUMBER(SEARCH("20L/桶",[1]Sheet1!C4)),[1]Sheet1!C4&lt;&gt;""),"PET桶",[1]Sheet1!C4&lt;&gt;"",[1]Sheet1!C4,TRUE,"")</f>
        <v>柠檬风味305ml*12</v>
      </c>
      <c r="B9" s="13" t="str">
        <f>_xlfn.IFS(AND(ISNUMBER(SEARCH("20L/桶",[1]Sheet1!D4)),[1]Sheet1!D4&lt;&gt;""),"PET桶",[1]Sheet1!D4&lt;&gt;"",[1]Sheet1!D4,TRUE,"")</f>
        <v>箱</v>
      </c>
      <c r="C9" s="13">
        <f>_xlfn.IFS(AND(ISNUMBER(SEARCH("20L/桶",[1]Sheet1!E4)),[1]Sheet1!E4&lt;&gt;""),"PET桶",[1]Sheet1!E4&lt;&gt;"",[1]Sheet1!E4,TRUE,"")</f>
        <v>50</v>
      </c>
      <c r="D9" s="14" t="str">
        <f>IF(AND(ISNUMBER(SEARCH("20L",[1]Sheet1!C10)),[1]Sheet1!C10&lt;&gt;""),"PET桶",IF([1]Sheet1!C10&lt;&gt;"",[1]Sheet1!C10,""))</f>
        <v/>
      </c>
      <c r="E9" s="14" t="str">
        <f>IF(AND(ISNUMBER(SEARCH("20L",[1]Sheet1!D10)),[1]Sheet1!D10&lt;&gt;""),"PET桶",IF([1]Sheet1!D10&lt;&gt;"",[1]Sheet1!D10,""))</f>
        <v/>
      </c>
      <c r="F9" s="14" t="str">
        <f>IF(AND(ISNUMBER(SEARCH("20L",[1]Sheet1!E10)),[1]Sheet1!E10&lt;&gt;""),"PET桶",IF([1]Sheet1!E10&lt;&gt;"",[1]Sheet1!E10,""))</f>
        <v/>
      </c>
      <c r="G9" s="5"/>
      <c r="H9" s="5"/>
      <c r="I9" s="2" t="s">
        <v>20</v>
      </c>
      <c r="J9" s="15"/>
      <c r="K9" s="16" t="s">
        <v>18</v>
      </c>
      <c r="L9" s="15"/>
    </row>
    <row r="10" spans="1:21" ht="21" customHeight="1" x14ac:dyDescent="0.3">
      <c r="A10" s="13" t="str">
        <f>_xlfn.IFS(AND(ISNUMBER(SEARCH("20L/桶",[1]Sheet1!C5)),[1]Sheet1!C5&lt;&gt;""),"PET桶",[1]Sheet1!C5&lt;&gt;"",[1]Sheet1!C5,TRUE,"")</f>
        <v>比利时650ml*6</v>
      </c>
      <c r="B10" s="13" t="str">
        <f>_xlfn.IFS(AND(ISNUMBER(SEARCH("20L/桶",[1]Sheet1!D5)),[1]Sheet1!D5&lt;&gt;""),"PET桶",[1]Sheet1!D5&lt;&gt;"",[1]Sheet1!D5,TRUE,"")</f>
        <v>箱</v>
      </c>
      <c r="C10" s="13">
        <f>_xlfn.IFS(AND(ISNUMBER(SEARCH("20L/桶",[1]Sheet1!E5)),[1]Sheet1!E5&lt;&gt;""),"PET桶",[1]Sheet1!E5&lt;&gt;"",[1]Sheet1!E5,TRUE,"")</f>
        <v>450</v>
      </c>
      <c r="D10" s="14" t="str">
        <f>IF(AND(ISNUMBER(SEARCH("20L",[1]Sheet1!C11)),[1]Sheet1!C11&lt;&gt;""),"PET桶",IF([1]Sheet1!C11&lt;&gt;"",[1]Sheet1!C11,""))</f>
        <v/>
      </c>
      <c r="E10" s="14" t="str">
        <f>IF(AND(ISNUMBER(SEARCH("20L",[1]Sheet1!D11)),[1]Sheet1!D11&lt;&gt;""),"PET桶",IF([1]Sheet1!D11&lt;&gt;"",[1]Sheet1!D11,""))</f>
        <v/>
      </c>
      <c r="F10" s="14" t="str">
        <f>IF(AND(ISNUMBER(SEARCH("20L",[1]Sheet1!E11)),[1]Sheet1!E11&lt;&gt;""),"PET桶",IF([1]Sheet1!E11&lt;&gt;"",[1]Sheet1!E11,""))</f>
        <v/>
      </c>
      <c r="G10" s="7"/>
      <c r="H10" s="7"/>
      <c r="J10" s="15"/>
      <c r="K10" s="15"/>
      <c r="L10" s="15"/>
    </row>
    <row r="11" spans="1:21" ht="21" customHeight="1" x14ac:dyDescent="0.3">
      <c r="A11" s="13" t="str">
        <f>_xlfn.IFS(AND(ISNUMBER(SEARCH("20L/桶",[1]Sheet1!C6)),[1]Sheet1!C6&lt;&gt;""),"PET桶",[1]Sheet1!C6&lt;&gt;"",[1]Sheet1!C6,TRUE,"")</f>
        <v>德式小麦650ml*6</v>
      </c>
      <c r="B11" s="13" t="str">
        <f>_xlfn.IFS(AND(ISNUMBER(SEARCH("20L/桶",[1]Sheet1!D6)),[1]Sheet1!D6&lt;&gt;""),"PET桶",[1]Sheet1!D6&lt;&gt;"",[1]Sheet1!D6,TRUE,"")</f>
        <v>箱</v>
      </c>
      <c r="C11" s="13">
        <f>_xlfn.IFS(AND(ISNUMBER(SEARCH("20L/桶",[1]Sheet1!E6)),[1]Sheet1!E6&lt;&gt;""),"PET桶",[1]Sheet1!E6&lt;&gt;"",[1]Sheet1!E6,TRUE,"")</f>
        <v>350</v>
      </c>
      <c r="D11" s="5" t="s">
        <v>21</v>
      </c>
      <c r="E11" s="17"/>
      <c r="F11" s="17"/>
      <c r="G11" s="18"/>
      <c r="H11" s="18"/>
      <c r="K11" s="2" t="s">
        <v>18</v>
      </c>
      <c r="M11" s="2" t="s">
        <v>22</v>
      </c>
    </row>
    <row r="12" spans="1:21" ht="21" customHeight="1" x14ac:dyDescent="0.3">
      <c r="A12" s="13" t="str">
        <f>_xlfn.IFS(AND(ISNUMBER(SEARCH("20L/桶",[1]Sheet1!C7)),[1]Sheet1!C7&lt;&gt;""),"PET桶",[1]Sheet1!C7&lt;&gt;"",[1]Sheet1!C7,TRUE,"")</f>
        <v>灵芝黄精650ml*6</v>
      </c>
      <c r="B12" s="13" t="str">
        <f>_xlfn.IFS(AND(ISNUMBER(SEARCH("20L/桶",[1]Sheet1!D7)),[1]Sheet1!D7&lt;&gt;""),"PET桶",[1]Sheet1!D7&lt;&gt;"",[1]Sheet1!D7,TRUE,"")</f>
        <v>箱</v>
      </c>
      <c r="C12" s="13">
        <f>_xlfn.IFS(AND(ISNUMBER(SEARCH("20L/桶",[1]Sheet1!E7)),[1]Sheet1!E7&lt;&gt;""),"PET桶",[1]Sheet1!E7&lt;&gt;"",[1]Sheet1!E7,TRUE,"")</f>
        <v>100</v>
      </c>
      <c r="D12" s="7" t="s">
        <v>23</v>
      </c>
      <c r="E12" s="19"/>
      <c r="F12" s="20"/>
      <c r="G12" s="18" t="s">
        <v>24</v>
      </c>
      <c r="H12" s="18" t="s">
        <v>25</v>
      </c>
      <c r="J12" s="2" t="s">
        <v>18</v>
      </c>
      <c r="K12" s="2" t="s">
        <v>18</v>
      </c>
      <c r="L12" s="2" t="s">
        <v>18</v>
      </c>
    </row>
    <row r="13" spans="1:21" ht="21" customHeight="1" x14ac:dyDescent="0.3">
      <c r="A13" s="21" t="s">
        <v>26</v>
      </c>
      <c r="B13" s="22"/>
      <c r="C13" s="22"/>
      <c r="D13" s="22"/>
      <c r="E13" s="22"/>
      <c r="F13" s="22"/>
      <c r="G13" s="22"/>
      <c r="H13" s="23"/>
      <c r="I13" s="2" t="s">
        <v>20</v>
      </c>
      <c r="J13" s="2" t="s">
        <v>18</v>
      </c>
      <c r="K13" s="2" t="s">
        <v>18</v>
      </c>
    </row>
    <row r="14" spans="1:21" ht="21" customHeight="1" x14ac:dyDescent="0.3">
      <c r="A14" s="21" t="s">
        <v>27</v>
      </c>
      <c r="B14" s="22"/>
      <c r="C14" s="22"/>
      <c r="D14" s="22"/>
      <c r="E14" s="22"/>
      <c r="F14" s="22"/>
      <c r="G14" s="22"/>
      <c r="H14" s="23"/>
      <c r="I14" s="2" t="s">
        <v>12</v>
      </c>
      <c r="K14" s="2" t="s">
        <v>18</v>
      </c>
    </row>
    <row r="15" spans="1:21" ht="21" customHeight="1" x14ac:dyDescent="0.3">
      <c r="A15" s="21" t="s">
        <v>28</v>
      </c>
      <c r="B15" s="22"/>
      <c r="C15" s="22"/>
      <c r="D15" s="22"/>
      <c r="E15" s="22"/>
      <c r="F15" s="22"/>
      <c r="G15" s="22"/>
      <c r="H15" s="23"/>
      <c r="I15" s="2" t="s">
        <v>20</v>
      </c>
      <c r="M15" s="2" t="s">
        <v>19</v>
      </c>
    </row>
    <row r="16" spans="1:21" ht="27.75" customHeight="1" x14ac:dyDescent="0.3">
      <c r="G16" s="15" t="s">
        <v>29</v>
      </c>
      <c r="H16" s="15" t="s">
        <v>3</v>
      </c>
    </row>
    <row r="36" s="2" customFormat="1" ht="27.75" customHeight="1" x14ac:dyDescent="0.3"/>
    <row r="37" s="2" customFormat="1" ht="27.75" customHeight="1" x14ac:dyDescent="0.3"/>
    <row r="38" s="2" customFormat="1" ht="27.75" customHeight="1" x14ac:dyDescent="0.3"/>
    <row r="39" s="2" customFormat="1" ht="27.75" customHeight="1" x14ac:dyDescent="0.3"/>
    <row r="40" s="2" customFormat="1" ht="27.75" customHeight="1" x14ac:dyDescent="0.3"/>
    <row r="41" s="2" customFormat="1" ht="27.75" customHeight="1" x14ac:dyDescent="0.3"/>
    <row r="42" s="2" customFormat="1" ht="27.75" customHeight="1" x14ac:dyDescent="0.3"/>
    <row r="43" s="2" customFormat="1" ht="27.75" customHeight="1" x14ac:dyDescent="0.3"/>
    <row r="44" s="2" customFormat="1" ht="27.75" customHeight="1" x14ac:dyDescent="0.3"/>
    <row r="45" s="2" customFormat="1" ht="27.75" customHeight="1" x14ac:dyDescent="0.3"/>
    <row r="46" s="2" customFormat="1" ht="27.75" customHeight="1" x14ac:dyDescent="0.3"/>
    <row r="47" s="2" customFormat="1" ht="27.75" customHeight="1" x14ac:dyDescent="0.3"/>
    <row r="48" s="2" customFormat="1" ht="27.75" customHeight="1" x14ac:dyDescent="0.3"/>
    <row r="49" s="2" customFormat="1" ht="27.75" customHeight="1" x14ac:dyDescent="0.3"/>
  </sheetData>
  <mergeCells count="12">
    <mergeCell ref="G6:H6"/>
    <mergeCell ref="E11:F11"/>
    <mergeCell ref="E12:F12"/>
    <mergeCell ref="A13:H13"/>
    <mergeCell ref="A14:H14"/>
    <mergeCell ref="A15:H15"/>
    <mergeCell ref="A1:H1"/>
    <mergeCell ref="A2:C2"/>
    <mergeCell ref="F2:H2"/>
    <mergeCell ref="F3:H3"/>
    <mergeCell ref="F4:H4"/>
    <mergeCell ref="B5:H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茶 红</dc:creator>
  <cp:lastModifiedBy>茶 红</cp:lastModifiedBy>
  <dcterms:created xsi:type="dcterms:W3CDTF">2026-03-02T14:57:24Z</dcterms:created>
  <dcterms:modified xsi:type="dcterms:W3CDTF">2026-03-02T14:58:53Z</dcterms:modified>
</cp:coreProperties>
</file>